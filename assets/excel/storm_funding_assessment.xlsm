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williameverett/Desktop/Fall-2020/OPIM-258/HW/HW2/"/>
    </mc:Choice>
  </mc:AlternateContent>
  <xr:revisionPtr revIDLastSave="0" documentId="13_ncr:1_{EB566613-D308-264E-9283-C6A8BDE180CE}" xr6:coauthVersionLast="45" xr6:coauthVersionMax="45" xr10:uidLastSave="{00000000-0000-0000-0000-000000000000}"/>
  <bookViews>
    <workbookView xWindow="0" yWindow="460" windowWidth="19400" windowHeight="11600" tabRatio="800" xr2:uid="{7E7B06A3-F484-4340-8EC0-A9A2554A5741}"/>
  </bookViews>
  <sheets>
    <sheet name="User Interface" sheetId="1" r:id="rId1"/>
    <sheet name="State Level Calculations" sheetId="2" r:id="rId2"/>
    <sheet name="Commercial Data" sheetId="3" r:id="rId3"/>
    <sheet name="Residential Data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2" l="1"/>
  <c r="E10" i="2"/>
  <c r="E9" i="2"/>
  <c r="E8" i="2"/>
  <c r="E7" i="2"/>
  <c r="E6" i="2"/>
  <c r="E5" i="2"/>
  <c r="E4" i="2"/>
  <c r="J3" i="2"/>
  <c r="E3" i="2"/>
  <c r="J2" i="2"/>
  <c r="G4" i="2" s="1"/>
  <c r="D1" i="2"/>
  <c r="C1" i="2"/>
  <c r="E1" i="2" l="1"/>
  <c r="F4" i="2" s="1"/>
  <c r="F9" i="2"/>
  <c r="G10" i="2"/>
  <c r="G7" i="2"/>
  <c r="G11" i="2"/>
  <c r="G5" i="2"/>
  <c r="G3" i="2"/>
  <c r="G8" i="2"/>
  <c r="G6" i="2"/>
  <c r="G9" i="2"/>
  <c r="F8" i="2" l="1"/>
  <c r="F11" i="2"/>
  <c r="F7" i="2"/>
  <c r="F10" i="2"/>
  <c r="F3" i="2"/>
  <c r="F6" i="2"/>
  <c r="F5" i="2"/>
  <c r="G1" i="2"/>
</calcChain>
</file>

<file path=xl/sharedStrings.xml><?xml version="1.0" encoding="utf-8"?>
<sst xmlns="http://schemas.openxmlformats.org/spreadsheetml/2006/main" count="20" uniqueCount="20">
  <si>
    <t>State Level</t>
  </si>
  <si>
    <t>Total Verified Loss</t>
  </si>
  <si>
    <t>Total Loan</t>
  </si>
  <si>
    <t>Match %</t>
  </si>
  <si>
    <t>Difference</t>
  </si>
  <si>
    <t>Fair?</t>
  </si>
  <si>
    <t>Q1</t>
  </si>
  <si>
    <t>1 = fair</t>
  </si>
  <si>
    <t>CT</t>
  </si>
  <si>
    <t>Q3</t>
  </si>
  <si>
    <t>2 = too high</t>
  </si>
  <si>
    <t>DE</t>
  </si>
  <si>
    <t>0 = too low</t>
  </si>
  <si>
    <t>MD</t>
  </si>
  <si>
    <t>NC</t>
  </si>
  <si>
    <t>NJ</t>
  </si>
  <si>
    <t>NY</t>
  </si>
  <si>
    <t>PA</t>
  </si>
  <si>
    <t>RI</t>
  </si>
  <si>
    <t>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</si>
</sst>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00000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/>
    <xf numFmtId="0" fontId="0" fillId="2" borderId="5" xfId="0" applyFill="1" applyBorder="1"/>
    <xf numFmtId="0" fontId="0" fillId="2" borderId="5" xfId="0" applyFill="1" applyBorder="1" applyAlignment="1">
      <alignment horizontal="center"/>
    </xf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44" fontId="0" fillId="0" borderId="0" xfId="0" applyNumberFormat="1"/>
    <xf numFmtId="10" fontId="0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44" fontId="0" fillId="0" borderId="0" xfId="1" applyFont="1"/>
    <xf numFmtId="10" fontId="0" fillId="0" borderId="0" xfId="0" applyNumberFormat="1"/>
    <xf numFmtId="164" fontId="0" fillId="0" borderId="0" xfId="0" applyNumberForma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17</xdr:row>
          <xdr:rowOff>177800</xdr:rowOff>
        </xdr:from>
        <xdr:to>
          <xdr:col>4</xdr:col>
          <xdr:colOff>177800</xdr:colOff>
          <xdr:row>20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25400</xdr:rowOff>
        </xdr:from>
        <xdr:to>
          <xdr:col>4</xdr:col>
          <xdr:colOff>152400</xdr:colOff>
          <xdr:row>4</xdr:row>
          <xdr:rowOff>114300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13</xdr:row>
          <xdr:rowOff>88900</xdr:rowOff>
        </xdr:from>
        <xdr:to>
          <xdr:col>4</xdr:col>
          <xdr:colOff>165100</xdr:colOff>
          <xdr:row>15</xdr:row>
          <xdr:rowOff>177800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5</xdr:row>
          <xdr:rowOff>38100</xdr:rowOff>
        </xdr:from>
        <xdr:to>
          <xdr:col>4</xdr:col>
          <xdr:colOff>139700</xdr:colOff>
          <xdr:row>7</xdr:row>
          <xdr:rowOff>76200</xdr:rowOff>
        </xdr:to>
        <xdr:sp macro="" textlink="">
          <xdr:nvSpPr>
            <xdr:cNvPr id="1028" name="Option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7</xdr:row>
          <xdr:rowOff>177800</xdr:rowOff>
        </xdr:from>
        <xdr:to>
          <xdr:col>4</xdr:col>
          <xdr:colOff>139700</xdr:colOff>
          <xdr:row>10</xdr:row>
          <xdr:rowOff>25400</xdr:rowOff>
        </xdr:to>
        <xdr:sp macro="" textlink="">
          <xdr:nvSpPr>
            <xdr:cNvPr id="1029" name="Option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215900</xdr:colOff>
          <xdr:row>4</xdr:row>
          <xdr:rowOff>165100</xdr:rowOff>
        </xdr:from>
        <xdr:to>
          <xdr:col>8</xdr:col>
          <xdr:colOff>546100</xdr:colOff>
          <xdr:row>7</xdr:row>
          <xdr:rowOff>63500</xdr:rowOff>
        </xdr:to>
        <xdr:sp macro="" textlink="">
          <xdr:nvSpPr>
            <xdr:cNvPr id="1030" name="CommandButton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11</xdr:row>
          <xdr:rowOff>127000</xdr:rowOff>
        </xdr:from>
        <xdr:to>
          <xdr:col>9</xdr:col>
          <xdr:colOff>469900</xdr:colOff>
          <xdr:row>18</xdr:row>
          <xdr:rowOff>101600</xdr:rowOff>
        </xdr:to>
        <xdr:sp macro="" textlink="">
          <xdr:nvSpPr>
            <xdr:cNvPr id="1031" name="Label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19</xdr:row>
          <xdr:rowOff>50800</xdr:rowOff>
        </xdr:from>
        <xdr:to>
          <xdr:col>8</xdr:col>
          <xdr:colOff>495300</xdr:colOff>
          <xdr:row>22</xdr:row>
          <xdr:rowOff>0</xdr:rowOff>
        </xdr:to>
        <xdr:sp macro="" textlink="">
          <xdr:nvSpPr>
            <xdr:cNvPr id="1032" name="CommandButton5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D66BE-A5E2-41F9-B24B-6B204A3467F0}">
  <sheetPr codeName="Sheet1"/>
  <dimension ref="B1:K23"/>
  <sheetViews>
    <sheetView showGridLines="0" tabSelected="1" zoomScale="160" zoomScaleNormal="160" workbookViewId="0">
      <selection activeCell="O29" sqref="O29"/>
    </sheetView>
  </sheetViews>
  <sheetFormatPr baseColWidth="10" defaultColWidth="9" defaultRowHeight="15" x14ac:dyDescent="0.2"/>
  <cols>
    <col min="1" max="8" width="9" style="1"/>
    <col min="9" max="11" width="9" style="2"/>
    <col min="12" max="16384" width="9" style="1"/>
  </cols>
  <sheetData>
    <row r="1" spans="2:10" ht="16" thickBot="1" x14ac:dyDescent="0.25"/>
    <row r="2" spans="2:10" x14ac:dyDescent="0.2">
      <c r="B2" s="3"/>
      <c r="C2" s="4"/>
      <c r="D2" s="4"/>
      <c r="E2" s="5"/>
      <c r="F2" s="4"/>
      <c r="G2" s="4"/>
      <c r="H2" s="4"/>
      <c r="I2" s="6"/>
      <c r="J2" s="7"/>
    </row>
    <row r="3" spans="2:10" x14ac:dyDescent="0.2">
      <c r="B3" s="8"/>
      <c r="E3" s="9"/>
      <c r="J3" s="10"/>
    </row>
    <row r="4" spans="2:10" x14ac:dyDescent="0.2">
      <c r="B4" s="8"/>
      <c r="E4" s="9"/>
      <c r="J4" s="10"/>
    </row>
    <row r="5" spans="2:10" x14ac:dyDescent="0.2">
      <c r="B5" s="8"/>
      <c r="E5" s="9"/>
      <c r="J5" s="10"/>
    </row>
    <row r="6" spans="2:10" x14ac:dyDescent="0.2">
      <c r="B6" s="8"/>
      <c r="E6" s="9"/>
      <c r="J6" s="10"/>
    </row>
    <row r="7" spans="2:10" x14ac:dyDescent="0.2">
      <c r="B7" s="8"/>
      <c r="E7" s="9"/>
      <c r="J7" s="10"/>
    </row>
    <row r="8" spans="2:10" x14ac:dyDescent="0.2">
      <c r="B8" s="8"/>
      <c r="E8" s="9"/>
      <c r="J8" s="10"/>
    </row>
    <row r="9" spans="2:10" x14ac:dyDescent="0.2">
      <c r="B9" s="8"/>
      <c r="E9" s="9"/>
      <c r="J9" s="10"/>
    </row>
    <row r="10" spans="2:10" x14ac:dyDescent="0.2">
      <c r="B10" s="8"/>
      <c r="E10" s="9"/>
      <c r="J10" s="10"/>
    </row>
    <row r="11" spans="2:10" ht="16" thickBot="1" x14ac:dyDescent="0.25">
      <c r="B11" s="8"/>
      <c r="E11" s="9"/>
      <c r="J11" s="10"/>
    </row>
    <row r="12" spans="2:10" x14ac:dyDescent="0.2">
      <c r="B12" s="3"/>
      <c r="C12" s="4"/>
      <c r="D12" s="4"/>
      <c r="E12" s="5"/>
      <c r="F12" s="4"/>
      <c r="G12" s="4"/>
      <c r="H12" s="4"/>
      <c r="I12" s="6"/>
      <c r="J12" s="7"/>
    </row>
    <row r="13" spans="2:10" x14ac:dyDescent="0.2">
      <c r="B13" s="8"/>
      <c r="E13" s="9"/>
      <c r="J13" s="10"/>
    </row>
    <row r="14" spans="2:10" x14ac:dyDescent="0.2">
      <c r="B14" s="8"/>
      <c r="E14" s="9"/>
      <c r="J14" s="10"/>
    </row>
    <row r="15" spans="2:10" x14ac:dyDescent="0.2">
      <c r="B15" s="8"/>
      <c r="E15" s="9"/>
      <c r="J15" s="10"/>
    </row>
    <row r="16" spans="2:10" x14ac:dyDescent="0.2">
      <c r="B16" s="8"/>
      <c r="E16" s="9"/>
      <c r="J16" s="10"/>
    </row>
    <row r="17" spans="2:10" x14ac:dyDescent="0.2">
      <c r="B17" s="8"/>
      <c r="E17" s="9"/>
      <c r="J17" s="10"/>
    </row>
    <row r="18" spans="2:10" x14ac:dyDescent="0.2">
      <c r="B18" s="8"/>
      <c r="E18" s="9"/>
      <c r="J18" s="10"/>
    </row>
    <row r="19" spans="2:10" x14ac:dyDescent="0.2">
      <c r="B19" s="8"/>
      <c r="E19" s="9"/>
      <c r="J19" s="10"/>
    </row>
    <row r="20" spans="2:10" x14ac:dyDescent="0.2">
      <c r="B20" s="8"/>
      <c r="E20" s="9"/>
      <c r="J20" s="10"/>
    </row>
    <row r="21" spans="2:10" x14ac:dyDescent="0.2">
      <c r="B21" s="8"/>
      <c r="E21" s="9"/>
      <c r="J21" s="10"/>
    </row>
    <row r="22" spans="2:10" x14ac:dyDescent="0.2">
      <c r="B22" s="8"/>
      <c r="E22" s="9"/>
      <c r="J22" s="10"/>
    </row>
    <row r="23" spans="2:10" ht="16" thickBot="1" x14ac:dyDescent="0.25">
      <c r="B23" s="11"/>
      <c r="C23" s="12"/>
      <c r="D23" s="12"/>
      <c r="E23" s="13"/>
      <c r="F23" s="12"/>
      <c r="G23" s="12"/>
      <c r="H23" s="12"/>
      <c r="I23" s="14"/>
      <c r="J23" s="15"/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0683C-7400-49F2-8650-586E99FF20CA}">
  <sheetPr codeName="Sheet8"/>
  <dimension ref="A1:P20"/>
  <sheetViews>
    <sheetView workbookViewId="0">
      <selection activeCell="B2" sqref="B2:D12"/>
    </sheetView>
  </sheetViews>
  <sheetFormatPr baseColWidth="10" defaultColWidth="8.83203125" defaultRowHeight="15" x14ac:dyDescent="0.2"/>
  <cols>
    <col min="3" max="4" width="17" bestFit="1" customWidth="1"/>
    <col min="5" max="5" width="11.6640625" bestFit="1" customWidth="1"/>
    <col min="10" max="10" width="13.33203125" bestFit="1" customWidth="1"/>
    <col min="12" max="12" width="11.5" customWidth="1"/>
    <col min="14" max="14" width="11.33203125" customWidth="1"/>
  </cols>
  <sheetData>
    <row r="1" spans="1:16" x14ac:dyDescent="0.2">
      <c r="A1" t="s">
        <v>0</v>
      </c>
      <c r="C1" s="16">
        <f>SUM(C3:C11)</f>
        <v>4017860066</v>
      </c>
      <c r="D1" s="16">
        <f>SUM(D3:D11)</f>
        <v>899626600</v>
      </c>
      <c r="E1" s="17">
        <f>D1/C1</f>
        <v>0.22390690198815899</v>
      </c>
      <c r="G1">
        <f>SUM(G3:G12)</f>
        <v>9</v>
      </c>
    </row>
    <row r="2" spans="1:16" x14ac:dyDescent="0.2">
      <c r="C2" t="s">
        <v>1</v>
      </c>
      <c r="D2" t="s">
        <v>2</v>
      </c>
      <c r="E2" t="s">
        <v>3</v>
      </c>
      <c r="F2" t="s">
        <v>4</v>
      </c>
      <c r="G2" t="s">
        <v>5</v>
      </c>
      <c r="I2" t="s">
        <v>6</v>
      </c>
      <c r="J2">
        <f>QUARTILE(E3:E11,1)</f>
        <v>0.25444086198096111</v>
      </c>
      <c r="L2" t="s">
        <v>7</v>
      </c>
      <c r="M2" s="18"/>
      <c r="N2" s="18"/>
    </row>
    <row r="3" spans="1:16" x14ac:dyDescent="0.2">
      <c r="B3" s="19" t="s">
        <v>8</v>
      </c>
      <c r="C3" s="20">
        <v>48357528</v>
      </c>
      <c r="D3" s="20">
        <v>26250900</v>
      </c>
      <c r="E3" s="17">
        <f>IF(D3&gt;C3,1,D3/C3)</f>
        <v>0.5428503293220448</v>
      </c>
      <c r="F3" s="21">
        <f>E3-$E$1</f>
        <v>0.31894342733388581</v>
      </c>
      <c r="G3">
        <f>IF(E3&lt;$J$2,0,IF(E3&gt;$J$3,2,1))</f>
        <v>1</v>
      </c>
      <c r="I3" t="s">
        <v>9</v>
      </c>
      <c r="J3" s="22">
        <f>QUARTILE(E3:E11,3)</f>
        <v>0.5428503293220448</v>
      </c>
      <c r="L3" t="s">
        <v>10</v>
      </c>
      <c r="M3" s="18"/>
      <c r="N3" s="18"/>
    </row>
    <row r="4" spans="1:16" x14ac:dyDescent="0.2">
      <c r="B4" s="19" t="s">
        <v>11</v>
      </c>
      <c r="C4" s="20">
        <v>284476</v>
      </c>
      <c r="D4" s="20">
        <v>276900</v>
      </c>
      <c r="E4" s="17">
        <f t="shared" ref="E4:E8" si="0">IF(D4&gt;C4,1,D4/C4)</f>
        <v>0.97336857942322019</v>
      </c>
      <c r="F4" s="21">
        <f t="shared" ref="F4:F11" si="1">E4-$E$1</f>
        <v>0.7494616774350612</v>
      </c>
      <c r="G4">
        <f t="shared" ref="G4:G11" si="2">IF(E4&lt;$J$2,0,IF(E4&gt;$J$3,2,1))</f>
        <v>2</v>
      </c>
      <c r="L4" t="s">
        <v>12</v>
      </c>
      <c r="M4" s="18"/>
      <c r="N4" s="18"/>
    </row>
    <row r="5" spans="1:16" x14ac:dyDescent="0.2">
      <c r="B5" s="19" t="s">
        <v>13</v>
      </c>
      <c r="C5" s="20">
        <v>5798970</v>
      </c>
      <c r="D5" s="20">
        <v>1311600</v>
      </c>
      <c r="E5" s="17">
        <f t="shared" si="0"/>
        <v>0.2261780971448378</v>
      </c>
      <c r="F5" s="21">
        <f t="shared" si="1"/>
        <v>2.2711951566788124E-3</v>
      </c>
      <c r="G5">
        <f t="shared" si="2"/>
        <v>0</v>
      </c>
      <c r="L5" s="18"/>
      <c r="M5" s="18"/>
      <c r="N5" s="18"/>
    </row>
    <row r="6" spans="1:16" x14ac:dyDescent="0.2">
      <c r="B6" s="19" t="s">
        <v>14</v>
      </c>
      <c r="C6" s="20">
        <v>2491371</v>
      </c>
      <c r="D6" s="20">
        <v>703300</v>
      </c>
      <c r="E6" s="17">
        <f t="shared" si="0"/>
        <v>0.28229436723795853</v>
      </c>
      <c r="F6" s="21">
        <f t="shared" si="1"/>
        <v>5.8387465249799542E-2</v>
      </c>
      <c r="G6">
        <f t="shared" si="2"/>
        <v>1</v>
      </c>
      <c r="L6" s="18"/>
      <c r="M6" s="18"/>
      <c r="N6" s="18"/>
    </row>
    <row r="7" spans="1:16" x14ac:dyDescent="0.2">
      <c r="B7" s="19" t="s">
        <v>15</v>
      </c>
      <c r="C7" s="20">
        <v>1578700437</v>
      </c>
      <c r="D7" s="20">
        <v>401685900</v>
      </c>
      <c r="E7" s="17">
        <f t="shared" si="0"/>
        <v>0.25444086198096111</v>
      </c>
      <c r="F7" s="21">
        <f t="shared" si="1"/>
        <v>3.0533959992802118E-2</v>
      </c>
      <c r="G7">
        <f t="shared" si="2"/>
        <v>1</v>
      </c>
      <c r="L7" s="18"/>
      <c r="M7" s="18"/>
      <c r="N7" s="18"/>
    </row>
    <row r="8" spans="1:16" x14ac:dyDescent="0.2">
      <c r="B8" s="19" t="s">
        <v>16</v>
      </c>
      <c r="C8" s="20">
        <v>2375230472</v>
      </c>
      <c r="D8" s="20">
        <v>467014900</v>
      </c>
      <c r="E8" s="17">
        <f t="shared" si="0"/>
        <v>0.19661877258031404</v>
      </c>
      <c r="F8" s="21">
        <f t="shared" si="1"/>
        <v>-2.7288129407844947E-2</v>
      </c>
      <c r="G8">
        <f t="shared" si="2"/>
        <v>0</v>
      </c>
      <c r="L8" s="18"/>
      <c r="M8" s="18"/>
      <c r="N8" s="18"/>
    </row>
    <row r="9" spans="1:16" x14ac:dyDescent="0.2">
      <c r="B9" s="19" t="s">
        <v>17</v>
      </c>
      <c r="C9" s="20">
        <v>0</v>
      </c>
      <c r="D9" s="20">
        <v>16500</v>
      </c>
      <c r="E9" s="17">
        <f>IF(D9&gt;C9,1,D9/C9)</f>
        <v>1</v>
      </c>
      <c r="F9" s="21">
        <f t="shared" si="1"/>
        <v>0.77609309801184101</v>
      </c>
      <c r="G9">
        <f t="shared" si="2"/>
        <v>2</v>
      </c>
      <c r="L9" s="18"/>
      <c r="M9" s="18"/>
      <c r="N9" s="18"/>
    </row>
    <row r="10" spans="1:16" x14ac:dyDescent="0.2">
      <c r="B10" s="19" t="s">
        <v>18</v>
      </c>
      <c r="C10" s="20">
        <v>4222799</v>
      </c>
      <c r="D10" s="20">
        <v>1411200</v>
      </c>
      <c r="E10" s="17">
        <f>IF(D10&gt;C10,1,D10/C10)</f>
        <v>0.33418592739081354</v>
      </c>
      <c r="F10" s="21">
        <f t="shared" si="1"/>
        <v>0.11027902540265455</v>
      </c>
      <c r="G10">
        <f t="shared" si="2"/>
        <v>1</v>
      </c>
      <c r="L10" s="18"/>
      <c r="M10" s="18"/>
      <c r="N10" s="18"/>
    </row>
    <row r="11" spans="1:16" x14ac:dyDescent="0.2">
      <c r="B11" t="s">
        <v>19</v>
      </c>
      <c r="C11" s="20">
        <v>2774013</v>
      </c>
      <c r="D11" s="20">
        <v>955400</v>
      </c>
      <c r="E11" s="17">
        <f>IF(D11&gt;C11,1,D11/C11)</f>
        <v>0.34441078682760318</v>
      </c>
      <c r="F11" s="21">
        <f t="shared" si="1"/>
        <v>0.12050388483944419</v>
      </c>
      <c r="G11">
        <f t="shared" si="2"/>
        <v>1</v>
      </c>
      <c r="L11" s="18"/>
      <c r="M11" s="18"/>
      <c r="N11" s="18"/>
    </row>
    <row r="12" spans="1:16" x14ac:dyDescent="0.2">
      <c r="B12" s="19"/>
      <c r="C12" s="20"/>
      <c r="D12" s="20"/>
      <c r="E12" s="17"/>
      <c r="F12" s="21"/>
      <c r="N12" s="18"/>
      <c r="O12" s="18"/>
      <c r="P12" s="18"/>
    </row>
    <row r="13" spans="1:16" x14ac:dyDescent="0.2">
      <c r="N13" s="18"/>
      <c r="O13" s="18"/>
      <c r="P13" s="18"/>
    </row>
    <row r="14" spans="1:16" x14ac:dyDescent="0.2">
      <c r="E14" s="21"/>
      <c r="N14" s="18"/>
      <c r="O14" s="18"/>
      <c r="P14" s="18"/>
    </row>
    <row r="15" spans="1:16" x14ac:dyDescent="0.2">
      <c r="N15" s="18"/>
      <c r="O15" s="18"/>
      <c r="P15" s="18"/>
    </row>
    <row r="20" spans="5:5" x14ac:dyDescent="0.2">
      <c r="E20" s="2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FBFE0-33FE-412B-8F42-7C41CD2DB405}">
  <sheetPr codeName="Sheet4"/>
  <dimension ref="A1"/>
  <sheetViews>
    <sheetView showGridLines="0" topLeftCell="B1127"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C1D6C-F671-445D-B9FE-921EB6149AD8}">
  <sheetPr codeName="Sheet5"/>
  <dimension ref="A1"/>
  <sheetViews>
    <sheetView showGridLines="0" workbookViewId="0">
      <selection activeCell="B24" sqref="B24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 Interface</vt:lpstr>
      <vt:lpstr>State Level Calculations</vt:lpstr>
      <vt:lpstr>Commercial Data</vt:lpstr>
      <vt:lpstr>Residential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 Everett</dc:creator>
  <cp:lastModifiedBy>Microsoft Office User</cp:lastModifiedBy>
  <dcterms:created xsi:type="dcterms:W3CDTF">2020-11-30T01:33:49Z</dcterms:created>
  <dcterms:modified xsi:type="dcterms:W3CDTF">2020-12-11T20:48:00Z</dcterms:modified>
</cp:coreProperties>
</file>